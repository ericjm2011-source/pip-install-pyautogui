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A3001AB-E814-4EA3-B09E-0B05376DFCA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lanejamento Mens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nsloHYFDkkp81FVee+1AEa4Pf8VyG+tjJpUAfC9rxQQ="/>
    </ext>
  </extLst>
</workbook>
</file>

<file path=xl/calcChain.xml><?xml version="1.0" encoding="utf-8"?>
<calcChain xmlns="http://schemas.openxmlformats.org/spreadsheetml/2006/main">
  <c r="C11" i="1" l="1"/>
  <c r="C12" i="1" s="1"/>
  <c r="H2" i="1"/>
  <c r="F3" i="1" s="1"/>
  <c r="H3" i="1" l="1"/>
  <c r="F4" i="1" s="1"/>
  <c r="H4" i="1" l="1"/>
  <c r="F5" i="1" s="1"/>
  <c r="H5" i="1" l="1"/>
  <c r="F6" i="1" l="1"/>
  <c r="H6" i="1" l="1"/>
  <c r="F7" i="1" s="1"/>
  <c r="H7" i="1" l="1"/>
  <c r="F8" i="1" s="1"/>
  <c r="H8" i="1" l="1"/>
  <c r="F9" i="1" s="1"/>
  <c r="H9" i="1" l="1"/>
  <c r="F10" i="1" s="1"/>
  <c r="H10" i="1" l="1"/>
  <c r="F11" i="1" s="1"/>
  <c r="H11" i="1" l="1"/>
  <c r="F12" i="1" s="1"/>
  <c r="H12" i="1" l="1"/>
  <c r="F13" i="1" s="1"/>
  <c r="F14" i="1" s="1"/>
  <c r="H13" i="1" l="1"/>
  <c r="H14" i="1" s="1"/>
  <c r="H15" i="1" s="1"/>
</calcChain>
</file>

<file path=xl/sharedStrings.xml><?xml version="1.0" encoding="utf-8"?>
<sst xmlns="http://schemas.openxmlformats.org/spreadsheetml/2006/main" count="42" uniqueCount="38">
  <si>
    <t>Categoria</t>
  </si>
  <si>
    <t>Descrição</t>
  </si>
  <si>
    <t>Valor Mensal (R$)</t>
  </si>
  <si>
    <t>MÊS</t>
  </si>
  <si>
    <t>CDI</t>
  </si>
  <si>
    <t>JUROS</t>
  </si>
  <si>
    <t>Entrada</t>
  </si>
  <si>
    <t>Renda Mensal</t>
  </si>
  <si>
    <t>JAN</t>
  </si>
  <si>
    <t>Despesas Fixas</t>
  </si>
  <si>
    <t>Aluguel</t>
  </si>
  <si>
    <t>FEV</t>
  </si>
  <si>
    <t>Condomínio</t>
  </si>
  <si>
    <t>MAR</t>
  </si>
  <si>
    <t>Luz</t>
  </si>
  <si>
    <t>ABR</t>
  </si>
  <si>
    <t>Internet</t>
  </si>
  <si>
    <t>MAI</t>
  </si>
  <si>
    <t>IPTU</t>
  </si>
  <si>
    <t>JUN</t>
  </si>
  <si>
    <t>Despesas Necessárias</t>
  </si>
  <si>
    <t>Alimentação</t>
  </si>
  <si>
    <t>JUL</t>
  </si>
  <si>
    <t>Despesas Extras</t>
  </si>
  <si>
    <t>Lazer / Imprevistos</t>
  </si>
  <si>
    <t>AGO</t>
  </si>
  <si>
    <t>Reservas</t>
  </si>
  <si>
    <t>Poupança / Emergência</t>
  </si>
  <si>
    <t>SET</t>
  </si>
  <si>
    <t>Total de Despesas</t>
  </si>
  <si>
    <t>OUT</t>
  </si>
  <si>
    <t>Saldo Final</t>
  </si>
  <si>
    <t>NOV</t>
  </si>
  <si>
    <t>DEZ</t>
  </si>
  <si>
    <t>SALDO</t>
  </si>
  <si>
    <t>SALDOFINAL</t>
  </si>
  <si>
    <t>BRL-USD</t>
  </si>
  <si>
    <t>VALOR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</si>
</sst>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0" fontId="1" fillId="4" borderId="1" xfId="0" applyFont="1" applyFill="1" applyBorder="1" applyAlignment="1"/>
    <xf numFmtId="164" fontId="1" fillId="4" borderId="1" xfId="0" applyNumberFormat="1" applyFont="1" applyFill="1" applyBorder="1" applyAlignment="1"/>
    <xf numFmtId="10" fontId="1" fillId="4" borderId="1" xfId="0" applyNumberFormat="1" applyFont="1" applyFill="1" applyBorder="1" applyAlignment="1"/>
    <xf numFmtId="164" fontId="1" fillId="0" borderId="0" xfId="0" applyNumberFormat="1" applyFont="1" applyAlignment="1"/>
    <xf numFmtId="0" fontId="1" fillId="4" borderId="1" xfId="0" applyFont="1" applyFill="1" applyBorder="1"/>
    <xf numFmtId="0" fontId="1" fillId="0" borderId="0" xfId="0" applyFont="1" applyAlignment="1"/>
    <xf numFmtId="165" fontId="1" fillId="3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/>
    <xf numFmtId="165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'Planejamento Mensal'!$C$1</c:f>
              <c:strCache>
                <c:ptCount val="1"/>
                <c:pt idx="0">
                  <c:v>Valor Mensal (R$)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'Planejamento Mensal'!$A$2:$B$12</c:f>
              <c:multiLvlStrCache>
                <c:ptCount val="11"/>
                <c:lvl>
                  <c:pt idx="0">
                    <c:v>Renda Mensal</c:v>
                  </c:pt>
                  <c:pt idx="1">
                    <c:v>Aluguel</c:v>
                  </c:pt>
                  <c:pt idx="2">
                    <c:v>Condomínio</c:v>
                  </c:pt>
                  <c:pt idx="3">
                    <c:v>Luz</c:v>
                  </c:pt>
                  <c:pt idx="4">
                    <c:v>Internet</c:v>
                  </c:pt>
                  <c:pt idx="5">
                    <c:v>IPTU</c:v>
                  </c:pt>
                  <c:pt idx="6">
                    <c:v>Alimentação</c:v>
                  </c:pt>
                  <c:pt idx="7">
                    <c:v>Lazer / Imprevistos</c:v>
                  </c:pt>
                  <c:pt idx="8">
                    <c:v>Poupança / Emergência</c:v>
                  </c:pt>
                  <c:pt idx="9">
                    <c:v>Total de Despesas</c:v>
                  </c:pt>
                  <c:pt idx="10">
                    <c:v>Saldo Final</c:v>
                  </c:pt>
                </c:lvl>
                <c:lvl>
                  <c:pt idx="0">
                    <c:v>Entrada</c:v>
                  </c:pt>
                  <c:pt idx="1">
                    <c:v>Despesas Fixas</c:v>
                  </c:pt>
                  <c:pt idx="2">
                    <c:v>Despesas Fixas</c:v>
                  </c:pt>
                  <c:pt idx="3">
                    <c:v>Despesas Fixas</c:v>
                  </c:pt>
                  <c:pt idx="4">
                    <c:v>Despesas Fixas</c:v>
                  </c:pt>
                  <c:pt idx="5">
                    <c:v>Despesas Fixas</c:v>
                  </c:pt>
                  <c:pt idx="6">
                    <c:v>Despesas Necessárias</c:v>
                  </c:pt>
                  <c:pt idx="7">
                    <c:v>Despesas Extras</c:v>
                  </c:pt>
                  <c:pt idx="8">
                    <c:v>Reservas</c:v>
                  </c:pt>
                </c:lvl>
              </c:multiLvlStrCache>
            </c:multiLvlStrRef>
          </c:cat>
          <c:val>
            <c:numRef>
              <c:f>'Planejamento Mensal'!$C$2:$C$12</c:f>
              <c:numCache>
                <c:formatCode>[$R$ -416]#,##0.00</c:formatCode>
                <c:ptCount val="11"/>
                <c:pt idx="0" formatCode="_-[$R$-416]\ * #,##0.00_-;\-[$R$-416]\ * #,##0.00_-;_-[$R$-416]\ * &quot;-&quot;??_-;_-@_-">
                  <c:v>3042.28</c:v>
                </c:pt>
                <c:pt idx="9">
                  <c:v>0</c:v>
                </c:pt>
                <c:pt idx="10">
                  <c:v>3042.28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6-4D4B-A8DF-5C9CCE0F8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925264"/>
        <c:axId val="1802337088"/>
      </c:lineChart>
      <c:catAx>
        <c:axId val="19899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2337088"/>
        <c:crosses val="autoZero"/>
        <c:auto val="1"/>
        <c:lblAlgn val="ctr"/>
        <c:lblOffset val="100"/>
        <c:noMultiLvlLbl val="0"/>
      </c:catAx>
      <c:valAx>
        <c:axId val="180233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992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7391032370953631"/>
          <c:y val="0.18560185185185185"/>
          <c:w val="0.31329068241469815"/>
          <c:h val="0.52215113735783025"/>
        </c:manualLayout>
      </c:layout>
      <c:pie3DChart>
        <c:varyColors val="1"/>
        <c:ser>
          <c:idx val="0"/>
          <c:order val="0"/>
          <c:tx>
            <c:strRef>
              <c:f>'Planejamento Mensal'!$F$1</c:f>
              <c:strCache>
                <c:ptCount val="1"/>
                <c:pt idx="0">
                  <c:v>VALOR INICIAL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FE-40D7-A245-78B40E2371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FE-40D7-A245-78B40E2371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FE-40D7-A245-78B40E2371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9FE-40D7-A245-78B40E2371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9FE-40D7-A245-78B40E2371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9FE-40D7-A245-78B40E2371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9FE-40D7-A245-78B40E2371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9FE-40D7-A245-78B40E2371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9FE-40D7-A245-78B40E2371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9FE-40D7-A245-78B40E2371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9FE-40D7-A245-78B40E2371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9FE-40D7-A245-78B40E2371C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89FE-40D7-A245-78B40E2371C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89FE-40D7-A245-78B40E2371C1}"/>
              </c:ext>
            </c:extLst>
          </c:dPt>
          <c:cat>
            <c:strRef>
              <c:f>'Planejamento Mensal'!$E$2:$E$15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SALDO</c:v>
                </c:pt>
                <c:pt idx="13">
                  <c:v>SALDOFINAL</c:v>
                </c:pt>
              </c:strCache>
            </c:strRef>
          </c:cat>
          <c:val>
            <c:numRef>
              <c:f>'Planejamento Mensal'!$F$2:$F$15</c:f>
              <c:numCache>
                <c:formatCode>[$R$ -416]#,##0.00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C-47DC-9143-EDB86087C7E4}"/>
            </c:ext>
          </c:extLst>
        </c:ser>
        <c:ser>
          <c:idx val="1"/>
          <c:order val="1"/>
          <c:tx>
            <c:strRef>
              <c:f>'Planejamento Mensal'!$G$1</c:f>
              <c:strCache>
                <c:ptCount val="1"/>
                <c:pt idx="0">
                  <c:v>CDI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89FE-40D7-A245-78B40E2371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89FE-40D7-A245-78B40E2371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89FE-40D7-A245-78B40E2371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89FE-40D7-A245-78B40E2371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89FE-40D7-A245-78B40E2371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89FE-40D7-A245-78B40E2371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89FE-40D7-A245-78B40E2371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89FE-40D7-A245-78B40E2371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89FE-40D7-A245-78B40E2371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89FE-40D7-A245-78B40E2371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89FE-40D7-A245-78B40E2371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89FE-40D7-A245-78B40E2371C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89FE-40D7-A245-78B40E2371C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89FE-40D7-A245-78B40E2371C1}"/>
              </c:ext>
            </c:extLst>
          </c:dPt>
          <c:cat>
            <c:strRef>
              <c:f>'Planejamento Mensal'!$E$2:$E$15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SALDO</c:v>
                </c:pt>
                <c:pt idx="13">
                  <c:v>SALDOFINAL</c:v>
                </c:pt>
              </c:strCache>
            </c:strRef>
          </c:cat>
          <c:val>
            <c:numRef>
              <c:f>'Planejamento Mensal'!$G$2:$G$15</c:f>
              <c:numCache>
                <c:formatCode>0.00%</c:formatCode>
                <c:ptCount val="14"/>
                <c:pt idx="0">
                  <c:v>1.1299999999999999E-2</c:v>
                </c:pt>
                <c:pt idx="1">
                  <c:v>1.1299999999999999E-2</c:v>
                </c:pt>
                <c:pt idx="2">
                  <c:v>1.1299999999999999E-2</c:v>
                </c:pt>
                <c:pt idx="3">
                  <c:v>1.1299999999999999E-2</c:v>
                </c:pt>
                <c:pt idx="4">
                  <c:v>1.1299999999999999E-2</c:v>
                </c:pt>
                <c:pt idx="5">
                  <c:v>1.1299999999999999E-2</c:v>
                </c:pt>
                <c:pt idx="6">
                  <c:v>1.1299999999999999E-2</c:v>
                </c:pt>
                <c:pt idx="7">
                  <c:v>1.1299999999999999E-2</c:v>
                </c:pt>
                <c:pt idx="8">
                  <c:v>1.1299999999999999E-2</c:v>
                </c:pt>
                <c:pt idx="9">
                  <c:v>1.1299999999999999E-2</c:v>
                </c:pt>
                <c:pt idx="10">
                  <c:v>1.1299999999999999E-2</c:v>
                </c:pt>
                <c:pt idx="11">
                  <c:v>1.1299999999999999E-2</c:v>
                </c:pt>
                <c:pt idx="12">
                  <c:v>1.1299999999999999E-2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C-47DC-9143-EDB86087C7E4}"/>
            </c:ext>
          </c:extLst>
        </c:ser>
        <c:ser>
          <c:idx val="2"/>
          <c:order val="2"/>
          <c:tx>
            <c:strRef>
              <c:f>'Planejamento Mensal'!$H$1</c:f>
              <c:strCache>
                <c:ptCount val="1"/>
                <c:pt idx="0">
                  <c:v>JUROS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89FE-40D7-A245-78B40E2371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89FE-40D7-A245-78B40E2371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89FE-40D7-A245-78B40E2371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89FE-40D7-A245-78B40E2371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89FE-40D7-A245-78B40E2371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89FE-40D7-A245-78B40E2371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89FE-40D7-A245-78B40E2371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89FE-40D7-A245-78B40E2371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89FE-40D7-A245-78B40E2371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89FE-40D7-A245-78B40E2371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89FE-40D7-A245-78B40E2371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89FE-40D7-A245-78B40E2371C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89FE-40D7-A245-78B40E2371C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89FE-40D7-A245-78B40E2371C1}"/>
              </c:ext>
            </c:extLst>
          </c:dPt>
          <c:cat>
            <c:strRef>
              <c:f>'Planejamento Mensal'!$E$2:$E$15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SALDO</c:v>
                </c:pt>
                <c:pt idx="13">
                  <c:v>SALDOFINAL</c:v>
                </c:pt>
              </c:strCache>
            </c:strRef>
          </c:cat>
          <c:val>
            <c:numRef>
              <c:f>'Planejamento Mensal'!$H$2:$H$15</c:f>
              <c:numCache>
                <c:formatCode>_-[$R$-416]\ * #,##0.00_-;\-[$R$-416]\ * #,##0.00_-;_-[$R$-416]\ 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C-47DC-9143-EDB86087C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14</xdr:row>
      <xdr:rowOff>66674</xdr:rowOff>
    </xdr:from>
    <xdr:to>
      <xdr:col>3</xdr:col>
      <xdr:colOff>466725</xdr:colOff>
      <xdr:row>29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CEBEE8-1ED8-18DB-46EA-2DD646E3B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0</xdr:row>
      <xdr:rowOff>166687</xdr:rowOff>
    </xdr:from>
    <xdr:to>
      <xdr:col>16</xdr:col>
      <xdr:colOff>104775</xdr:colOff>
      <xdr:row>15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8522E7-87AA-5733-9CF7-1C2BF6D3A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3" sqref="C3"/>
    </sheetView>
  </sheetViews>
  <sheetFormatPr defaultColWidth="14.42578125" defaultRowHeight="15" customHeight="1" x14ac:dyDescent="0.25"/>
  <cols>
    <col min="1" max="2" width="26.5703125" customWidth="1"/>
    <col min="3" max="3" width="16" customWidth="1"/>
    <col min="4" max="4" width="9.5703125" customWidth="1"/>
    <col min="5" max="5" width="8.7109375" customWidth="1"/>
    <col min="6" max="6" width="13.85546875" customWidth="1"/>
    <col min="7" max="7" width="10.7109375" customWidth="1"/>
    <col min="8" max="8" width="11.28515625" customWidth="1"/>
    <col min="9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E1" s="2" t="s">
        <v>3</v>
      </c>
      <c r="F1" s="2" t="s">
        <v>37</v>
      </c>
      <c r="G1" s="2" t="s">
        <v>4</v>
      </c>
      <c r="H1" s="2" t="s">
        <v>5</v>
      </c>
    </row>
    <row r="2" spans="1:8" x14ac:dyDescent="0.25">
      <c r="A2" s="3" t="s">
        <v>6</v>
      </c>
      <c r="B2" s="3" t="s">
        <v>7</v>
      </c>
      <c r="C2" s="12">
        <v>3042.28</v>
      </c>
      <c r="D2" s="5"/>
      <c r="E2" s="6" t="s">
        <v>8</v>
      </c>
      <c r="F2" s="7"/>
      <c r="G2" s="8">
        <v>1.1299999999999999E-2</v>
      </c>
      <c r="H2" s="13">
        <f>SUM(F2*G2)</f>
        <v>0</v>
      </c>
    </row>
    <row r="3" spans="1:8" x14ac:dyDescent="0.25">
      <c r="A3" s="3" t="s">
        <v>9</v>
      </c>
      <c r="B3" s="3" t="s">
        <v>10</v>
      </c>
      <c r="C3" s="4"/>
      <c r="D3" s="9"/>
      <c r="E3" s="6" t="s">
        <v>11</v>
      </c>
      <c r="F3" s="7">
        <f t="shared" ref="F3:F13" si="0">SUM(F2+H2)</f>
        <v>0</v>
      </c>
      <c r="G3" s="8">
        <v>1.1299999999999999E-2</v>
      </c>
      <c r="H3" s="13">
        <f t="shared" ref="H3:H13" si="1">SUM(F3*G3)</f>
        <v>0</v>
      </c>
    </row>
    <row r="4" spans="1:8" x14ac:dyDescent="0.25">
      <c r="A4" s="3" t="s">
        <v>9</v>
      </c>
      <c r="B4" s="3" t="s">
        <v>12</v>
      </c>
      <c r="C4" s="4"/>
      <c r="D4" s="9"/>
      <c r="E4" s="6" t="s">
        <v>13</v>
      </c>
      <c r="F4" s="7">
        <f t="shared" si="0"/>
        <v>0</v>
      </c>
      <c r="G4" s="8">
        <v>1.1299999999999999E-2</v>
      </c>
      <c r="H4" s="13">
        <f t="shared" si="1"/>
        <v>0</v>
      </c>
    </row>
    <row r="5" spans="1:8" x14ac:dyDescent="0.25">
      <c r="A5" s="3" t="s">
        <v>9</v>
      </c>
      <c r="B5" s="3" t="s">
        <v>14</v>
      </c>
      <c r="C5" s="4"/>
      <c r="D5" s="9"/>
      <c r="E5" s="6" t="s">
        <v>15</v>
      </c>
      <c r="F5" s="7">
        <f t="shared" si="0"/>
        <v>0</v>
      </c>
      <c r="G5" s="8">
        <v>1.1299999999999999E-2</v>
      </c>
      <c r="H5" s="13">
        <f t="shared" si="1"/>
        <v>0</v>
      </c>
    </row>
    <row r="6" spans="1:8" x14ac:dyDescent="0.25">
      <c r="A6" s="3" t="s">
        <v>9</v>
      </c>
      <c r="B6" s="3" t="s">
        <v>16</v>
      </c>
      <c r="C6" s="4"/>
      <c r="D6" s="9"/>
      <c r="E6" s="6" t="s">
        <v>17</v>
      </c>
      <c r="F6" s="7">
        <f t="shared" si="0"/>
        <v>0</v>
      </c>
      <c r="G6" s="8">
        <v>1.1299999999999999E-2</v>
      </c>
      <c r="H6" s="13">
        <f t="shared" si="1"/>
        <v>0</v>
      </c>
    </row>
    <row r="7" spans="1:8" x14ac:dyDescent="0.25">
      <c r="A7" s="3" t="s">
        <v>9</v>
      </c>
      <c r="B7" s="3" t="s">
        <v>18</v>
      </c>
      <c r="C7" s="4"/>
      <c r="D7" s="9"/>
      <c r="E7" s="6" t="s">
        <v>19</v>
      </c>
      <c r="F7" s="7">
        <f t="shared" si="0"/>
        <v>0</v>
      </c>
      <c r="G7" s="8">
        <v>1.1299999999999999E-2</v>
      </c>
      <c r="H7" s="13">
        <f t="shared" si="1"/>
        <v>0</v>
      </c>
    </row>
    <row r="8" spans="1:8" x14ac:dyDescent="0.25">
      <c r="A8" s="3" t="s">
        <v>20</v>
      </c>
      <c r="B8" s="3" t="s">
        <v>21</v>
      </c>
      <c r="C8" s="4"/>
      <c r="D8" s="9"/>
      <c r="E8" s="6" t="s">
        <v>22</v>
      </c>
      <c r="F8" s="7">
        <f t="shared" si="0"/>
        <v>0</v>
      </c>
      <c r="G8" s="8">
        <v>1.1299999999999999E-2</v>
      </c>
      <c r="H8" s="13">
        <f t="shared" si="1"/>
        <v>0</v>
      </c>
    </row>
    <row r="9" spans="1:8" x14ac:dyDescent="0.25">
      <c r="A9" s="3" t="s">
        <v>23</v>
      </c>
      <c r="B9" s="3" t="s">
        <v>24</v>
      </c>
      <c r="C9" s="4"/>
      <c r="D9" s="5"/>
      <c r="E9" s="6" t="s">
        <v>25</v>
      </c>
      <c r="F9" s="7">
        <f t="shared" si="0"/>
        <v>0</v>
      </c>
      <c r="G9" s="8">
        <v>1.1299999999999999E-2</v>
      </c>
      <c r="H9" s="13">
        <f t="shared" si="1"/>
        <v>0</v>
      </c>
    </row>
    <row r="10" spans="1:8" x14ac:dyDescent="0.25">
      <c r="A10" s="3" t="s">
        <v>26</v>
      </c>
      <c r="B10" s="3" t="s">
        <v>27</v>
      </c>
      <c r="C10" s="4"/>
      <c r="D10" s="9"/>
      <c r="E10" s="6" t="s">
        <v>28</v>
      </c>
      <c r="F10" s="7">
        <f t="shared" si="0"/>
        <v>0</v>
      </c>
      <c r="G10" s="8">
        <v>1.1299999999999999E-2</v>
      </c>
      <c r="H10" s="13">
        <f t="shared" si="1"/>
        <v>0</v>
      </c>
    </row>
    <row r="11" spans="1:8" x14ac:dyDescent="0.25">
      <c r="A11" s="3"/>
      <c r="B11" s="3" t="s">
        <v>29</v>
      </c>
      <c r="C11" s="4">
        <f>SUM(C3:C10)</f>
        <v>0</v>
      </c>
      <c r="E11" s="6" t="s">
        <v>30</v>
      </c>
      <c r="F11" s="7">
        <f t="shared" si="0"/>
        <v>0</v>
      </c>
      <c r="G11" s="8">
        <v>1.1299999999999999E-2</v>
      </c>
      <c r="H11" s="13">
        <f t="shared" si="1"/>
        <v>0</v>
      </c>
    </row>
    <row r="12" spans="1:8" x14ac:dyDescent="0.25">
      <c r="A12" s="3"/>
      <c r="B12" s="3" t="s">
        <v>31</v>
      </c>
      <c r="C12" s="4">
        <f>SUM(C2-C11)</f>
        <v>3042.28</v>
      </c>
      <c r="E12" s="6" t="s">
        <v>32</v>
      </c>
      <c r="F12" s="7">
        <f t="shared" si="0"/>
        <v>0</v>
      </c>
      <c r="G12" s="8">
        <v>1.1299999999999999E-2</v>
      </c>
      <c r="H12" s="13">
        <f t="shared" si="1"/>
        <v>0</v>
      </c>
    </row>
    <row r="13" spans="1:8" x14ac:dyDescent="0.25">
      <c r="E13" s="6" t="s">
        <v>33</v>
      </c>
      <c r="F13" s="7">
        <f t="shared" si="0"/>
        <v>0</v>
      </c>
      <c r="G13" s="8">
        <v>1.1299999999999999E-2</v>
      </c>
      <c r="H13" s="13">
        <f t="shared" si="1"/>
        <v>0</v>
      </c>
    </row>
    <row r="14" spans="1:8" x14ac:dyDescent="0.25">
      <c r="E14" s="6" t="s">
        <v>34</v>
      </c>
      <c r="F14" s="7">
        <f>SUM(F2+F3+F4+F5+F6+F7+F8+F9+F10+F11+F12+F13)</f>
        <v>0</v>
      </c>
      <c r="G14" s="8">
        <v>1.1299999999999999E-2</v>
      </c>
      <c r="H14" s="14">
        <f>H2+H3+H4+H5+H6+H7+H8+H9+H10+H11+H12+H13</f>
        <v>0</v>
      </c>
    </row>
    <row r="15" spans="1:8" x14ac:dyDescent="0.25">
      <c r="E15" s="6" t="s">
        <v>35</v>
      </c>
      <c r="F15" s="10"/>
      <c r="G15" s="10"/>
      <c r="H15" s="14">
        <f>F14+H14</f>
        <v>0</v>
      </c>
    </row>
    <row r="21" spans="12:12" ht="15.75" customHeight="1" x14ac:dyDescent="0.25"/>
    <row r="22" spans="12:12" ht="15.75" customHeight="1" x14ac:dyDescent="0.25"/>
    <row r="23" spans="12:12" ht="15.75" customHeight="1" x14ac:dyDescent="0.25"/>
    <row r="24" spans="12:12" ht="15.75" customHeight="1" x14ac:dyDescent="0.25"/>
    <row r="25" spans="12:12" ht="15.75" customHeight="1" x14ac:dyDescent="0.25"/>
    <row r="26" spans="12:12" ht="15.75" customHeight="1" x14ac:dyDescent="0.25">
      <c r="L26" s="11" t="s">
        <v>36</v>
      </c>
    </row>
    <row r="27" spans="12:12" ht="15.75" customHeight="1" x14ac:dyDescent="0.25"/>
    <row r="28" spans="12:12" ht="15.75" customHeight="1" x14ac:dyDescent="0.25"/>
    <row r="29" spans="12:12" ht="15.75" customHeight="1" x14ac:dyDescent="0.25"/>
    <row r="30" spans="12:12" ht="15.75" customHeight="1" x14ac:dyDescent="0.25"/>
    <row r="31" spans="12:12" ht="15.75" customHeight="1" x14ac:dyDescent="0.25"/>
    <row r="32" spans="1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2" type="noConversion"/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milan</cp:lastModifiedBy>
  <dcterms:created xsi:type="dcterms:W3CDTF">2026-01-07T15:32:25Z</dcterms:created>
  <dcterms:modified xsi:type="dcterms:W3CDTF">2026-01-13T16:43:12Z</dcterms:modified>
</cp:coreProperties>
</file>